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ference" sheetId="2" state="visible" r:id="rId2"/>
    <sheet xmlns:r="http://schemas.openxmlformats.org/officeDocument/2006/relationships" name="Provisioned" sheetId="3" state="visible" r:id="rId3"/>
    <sheet xmlns:r="http://schemas.openxmlformats.org/officeDocument/2006/relationships" name="Embeddings" sheetId="4" state="visible" r:id="rId4"/>
    <sheet xmlns:r="http://schemas.openxmlformats.org/officeDocument/2006/relationships" name="Vector" sheetId="5" state="visible" r:id="rId5"/>
    <sheet xmlns:r="http://schemas.openxmlformats.org/officeDocument/2006/relationships" name="GPU" sheetId="6" state="visible" r:id="rId6"/>
    <sheet xmlns:r="http://schemas.openxmlformats.org/officeDocument/2006/relationships" name="FineTuning" sheetId="7" state="visible" r:id="rId7"/>
    <sheet xmlns:r="http://schemas.openxmlformats.org/officeDocument/2006/relationships" name="Satelli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i val="1"/>
    </font>
    <font>
      <b val="1"/>
    </font>
    <font>
      <color rgb="000000CC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DDE4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4" fillId="0" borderId="0" pivotButton="0" quotePrefix="0" xfId="0"/>
    <xf numFmtId="0" fontId="2" fillId="2" borderId="0" pivotButton="0" quotePrefix="0" xfId="0"/>
    <xf numFmtId="4" fontId="0" fillId="0" borderId="0" pivotButton="0" quotePrefix="0" xfId="0"/>
    <xf numFmtId="164" fontId="0" fillId="0" borderId="0" pivotButton="0" quotePrefix="0" xfId="0"/>
    <xf numFmtId="0" fontId="2" fillId="0" borderId="0" pivotButton="0" quotePrefix="0" xfId="0"/>
    <xf numFmtId="4" fontId="2" fillId="0" borderId="0" pivotButton="0" quotePrefix="0" xfId="0"/>
    <xf numFmtId="4" fontId="3" fillId="0" borderId="0" pivotButton="0" quotePrefix="0" xfId="0"/>
    <xf numFmtId="0" fontId="1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</cols>
  <sheetData>
    <row r="1">
      <c r="A1" s="1" t="inlineStr">
        <is>
          <t>AI cost model — one month (Atlas worked example, symbolic, October 2026)</t>
        </is>
      </c>
    </row>
    <row r="3">
      <c r="A3" s="2" t="inlineStr">
        <is>
          <t>Component</t>
        </is>
      </c>
      <c r="B3" s="2" t="inlineStr">
        <is>
          <t>Cost (USD)</t>
        </is>
      </c>
      <c r="C3" s="2" t="inlineStr">
        <is>
          <t>Share</t>
        </is>
      </c>
    </row>
    <row r="4">
      <c r="A4" t="inlineStr">
        <is>
          <t>Inference</t>
        </is>
      </c>
      <c r="B4" s="3">
        <f>'Inference'!I8</f>
        <v/>
      </c>
      <c r="C4" s="4">
        <f>B4/$B$11</f>
        <v/>
      </c>
    </row>
    <row r="5">
      <c r="A5" t="inlineStr">
        <is>
          <t>Provisioned</t>
        </is>
      </c>
      <c r="B5" s="3">
        <f>'Provisioned'!F6</f>
        <v/>
      </c>
      <c r="C5" s="4">
        <f>B5/$B$11</f>
        <v/>
      </c>
    </row>
    <row r="6">
      <c r="A6" t="inlineStr">
        <is>
          <t>Embeddings</t>
        </is>
      </c>
      <c r="B6" s="3">
        <f>'Embeddings'!D7</f>
        <v/>
      </c>
      <c r="C6" s="4">
        <f>B6/$B$11</f>
        <v/>
      </c>
    </row>
    <row r="7">
      <c r="A7" t="inlineStr">
        <is>
          <t>Vector</t>
        </is>
      </c>
      <c r="B7" s="3">
        <f>'Vector'!E7</f>
        <v/>
      </c>
      <c r="C7" s="4">
        <f>B7/$B$11</f>
        <v/>
      </c>
    </row>
    <row r="8">
      <c r="A8" t="inlineStr">
        <is>
          <t>GPU</t>
        </is>
      </c>
      <c r="B8" s="3">
        <f>'GPU'!G6</f>
        <v/>
      </c>
      <c r="C8" s="4">
        <f>B8/$B$11</f>
        <v/>
      </c>
    </row>
    <row r="9">
      <c r="A9" t="inlineStr">
        <is>
          <t>FineTuning</t>
        </is>
      </c>
      <c r="B9" s="3">
        <f>'FineTuning'!D7</f>
        <v/>
      </c>
      <c r="C9" s="4">
        <f>B9/$B$11</f>
        <v/>
      </c>
    </row>
    <row r="10">
      <c r="A10" t="inlineStr">
        <is>
          <t>Satellites</t>
        </is>
      </c>
      <c r="B10" s="3">
        <f>'Satellites'!D9</f>
        <v/>
      </c>
      <c r="C10" s="4">
        <f>B10/$B$11</f>
        <v/>
      </c>
    </row>
    <row r="11">
      <c r="A11" s="5" t="inlineStr">
        <is>
          <t>Total</t>
        </is>
      </c>
      <c r="B11" s="6">
        <f>SUM(B4:B10)</f>
        <v/>
      </c>
      <c r="C11" s="4" t="n"/>
    </row>
    <row r="12">
      <c r="B12" s="3" t="n"/>
      <c r="C12" s="4" t="n"/>
    </row>
    <row r="13">
      <c r="A13" t="inlineStr">
        <is>
          <t>Outcomes this month (e.g. resolved conversations)</t>
        </is>
      </c>
      <c r="B13" s="7" t="n">
        <v>850000</v>
      </c>
      <c r="C13" s="4" t="n"/>
    </row>
    <row r="14">
      <c r="A14" s="5" t="inlineStr">
        <is>
          <t>Cost per outcome</t>
        </is>
      </c>
      <c r="B14" s="6">
        <f>B11/B13</f>
        <v/>
      </c>
      <c r="C14" s="4" t="n"/>
    </row>
    <row r="15">
      <c r="A15" t="inlineStr">
        <is>
          <t>Output share of inference cost</t>
        </is>
      </c>
      <c r="B15" s="4">
        <f>SUM(Inference!H4:H6)/Inference!I8</f>
        <v/>
      </c>
      <c r="C15" s="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20" customWidth="1" min="3" max="3"/>
    <col width="21" customWidth="1" min="4" max="4"/>
    <col width="14" customWidth="1" min="5" max="5"/>
    <col width="15" customWidth="1" min="6" max="6"/>
    <col width="14" customWidth="1" min="7" max="7"/>
    <col width="15" customWidth="1" min="8" max="8"/>
    <col width="14" customWidth="1" min="9" max="9"/>
  </cols>
  <sheetData>
    <row r="1">
      <c r="A1" s="8" t="inlineStr">
        <is>
          <t>On-demand tokens by alias. USD per 1M tokens, symbolic, October 2026.</t>
        </is>
      </c>
    </row>
    <row r="3">
      <c r="A3" s="2" t="inlineStr">
        <is>
          <t>Alias</t>
        </is>
      </c>
      <c r="B3" s="2" t="inlineStr">
        <is>
          <t>Model</t>
        </is>
      </c>
      <c r="C3" s="2" t="inlineStr">
        <is>
          <t>Input tokens (M)</t>
        </is>
      </c>
      <c r="D3" s="2" t="inlineStr">
        <is>
          <t>Output tokens (M)</t>
        </is>
      </c>
      <c r="E3" s="2" t="inlineStr">
        <is>
          <t>Input $/1M</t>
        </is>
      </c>
      <c r="F3" s="2" t="inlineStr">
        <is>
          <t>Output $/1M</t>
        </is>
      </c>
      <c r="G3" s="2" t="inlineStr">
        <is>
          <t>Input cost</t>
        </is>
      </c>
      <c r="H3" s="2" t="inlineStr">
        <is>
          <t>Output cost</t>
        </is>
      </c>
      <c r="I3" s="2" t="inlineStr">
        <is>
          <t>Total</t>
        </is>
      </c>
    </row>
    <row r="4">
      <c r="A4" t="inlineStr">
        <is>
          <t>standard</t>
        </is>
      </c>
      <c r="B4" t="inlineStr">
        <is>
          <t>us.anthropic.claude-sonnet-4-6</t>
        </is>
      </c>
      <c r="C4" s="9" t="n">
        <v>12000</v>
      </c>
      <c r="D4" s="9" t="n">
        <v>3800</v>
      </c>
      <c r="E4" s="9" t="n">
        <v>3.3</v>
      </c>
      <c r="F4" s="9" t="n">
        <v>16.5</v>
      </c>
      <c r="G4">
        <f>C4*E4</f>
        <v/>
      </c>
      <c r="H4">
        <f>D4*F4</f>
        <v/>
      </c>
      <c r="I4">
        <f>G4+H4</f>
        <v/>
      </c>
    </row>
    <row r="5">
      <c r="A5" t="inlineStr">
        <is>
          <t>premium</t>
        </is>
      </c>
      <c r="B5" t="inlineStr">
        <is>
          <t>us.anthropic.claude-opus-4-6-v1</t>
        </is>
      </c>
      <c r="C5" s="9" t="n">
        <v>800</v>
      </c>
      <c r="D5" s="9" t="n">
        <v>300</v>
      </c>
      <c r="E5" s="9" t="n">
        <v>5.5</v>
      </c>
      <c r="F5" s="9" t="n">
        <v>27.5</v>
      </c>
      <c r="G5">
        <f>C5*E5</f>
        <v/>
      </c>
      <c r="H5">
        <f>D5*F5</f>
        <v/>
      </c>
      <c r="I5">
        <f>G5+H5</f>
        <v/>
      </c>
    </row>
    <row r="6">
      <c r="A6" t="inlineStr">
        <is>
          <t>fast</t>
        </is>
      </c>
      <c r="B6" t="inlineStr">
        <is>
          <t>us.amazon.nova-micro-v1:0</t>
        </is>
      </c>
      <c r="C6" s="9" t="n">
        <v>40000</v>
      </c>
      <c r="D6" s="9" t="n">
        <v>12000</v>
      </c>
      <c r="E6" s="9" t="n">
        <v>0.035</v>
      </c>
      <c r="F6" s="9" t="n">
        <v>0.14</v>
      </c>
      <c r="G6">
        <f>C6*E6</f>
        <v/>
      </c>
      <c r="H6">
        <f>D6*F6</f>
        <v/>
      </c>
      <c r="I6">
        <f>G6+H6</f>
        <v/>
      </c>
    </row>
    <row r="8">
      <c r="A8" s="5" t="inlineStr">
        <is>
          <t>Total</t>
        </is>
      </c>
      <c r="I8" s="5">
        <f>SUM(I4:I6)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8" customWidth="1" min="1" max="1"/>
    <col width="15" customWidth="1" min="2" max="2"/>
    <col width="14" customWidth="1" min="3" max="3"/>
    <col width="14" customWidth="1" min="4" max="4"/>
    <col width="15" customWidth="1" min="5" max="5"/>
    <col width="14" customWidth="1" min="6" max="6"/>
    <col width="14" customWidth="1" min="7" max="7"/>
  </cols>
  <sheetData>
    <row r="1">
      <c r="A1" s="8" t="inlineStr">
        <is>
          <t>Reserved capacity (floors). Paid per model-unit hour whether tokens flow or not.</t>
        </is>
      </c>
    </row>
    <row r="3">
      <c r="A3" s="2" t="inlineStr">
        <is>
          <t>Floor</t>
        </is>
      </c>
      <c r="B3" s="2" t="inlineStr">
        <is>
          <t>Model units</t>
        </is>
      </c>
      <c r="C3" s="2" t="inlineStr">
        <is>
          <t>$/MU-hour</t>
        </is>
      </c>
      <c r="D3" s="2" t="inlineStr">
        <is>
          <t>Hours</t>
        </is>
      </c>
      <c r="E3" s="2" t="inlineStr">
        <is>
          <t>Utilization</t>
        </is>
      </c>
      <c r="F3" s="2" t="inlineStr">
        <is>
          <t>Cost</t>
        </is>
      </c>
      <c r="G3" s="2" t="inlineStr">
        <is>
          <t>Idle cost</t>
        </is>
      </c>
    </row>
    <row r="4">
      <c r="A4" t="inlineStr">
        <is>
          <t>support-chatbot floor</t>
        </is>
      </c>
      <c r="B4" s="9" t="n">
        <v>2</v>
      </c>
      <c r="C4" s="9" t="n">
        <v>31.5</v>
      </c>
      <c r="D4" s="9" t="n">
        <v>730</v>
      </c>
      <c r="E4" s="9" t="n">
        <v>0.63</v>
      </c>
      <c r="F4">
        <f>B4*C4*D4</f>
        <v/>
      </c>
      <c r="G4">
        <f>F4*(1-E4)</f>
        <v/>
      </c>
    </row>
    <row r="6">
      <c r="A6" s="5" t="inlineStr">
        <is>
          <t>Total</t>
        </is>
      </c>
      <c r="F6" s="5">
        <f>SUM(F4:F4)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14" customWidth="1" min="4" max="4"/>
  </cols>
  <sheetData>
    <row r="1">
      <c r="A1" s="8" t="inlineStr">
        <is>
          <t>Generation at ingest and — the sneaky one — regeneration on reindex.</t>
        </is>
      </c>
    </row>
    <row r="3">
      <c r="A3" s="2" t="inlineStr">
        <is>
          <t>Activity</t>
        </is>
      </c>
      <c r="B3" s="2" t="inlineStr">
        <is>
          <t>Tokens (M)</t>
        </is>
      </c>
      <c r="C3" s="2" t="inlineStr">
        <is>
          <t>$/1M</t>
        </is>
      </c>
      <c r="D3" s="2" t="inlineStr">
        <is>
          <t>Cost</t>
        </is>
      </c>
    </row>
    <row r="4">
      <c r="A4" t="inlineStr">
        <is>
          <t>Ingest</t>
        </is>
      </c>
      <c r="B4" s="9" t="n">
        <v>30000</v>
      </c>
      <c r="C4" s="9" t="n">
        <v>0.1</v>
      </c>
      <c r="D4">
        <f>B4*C4</f>
        <v/>
      </c>
    </row>
    <row r="5">
      <c r="A5" t="inlineStr">
        <is>
          <t>Reindex (embedding model upgrade)</t>
        </is>
      </c>
      <c r="B5" s="9" t="n">
        <v>60000</v>
      </c>
      <c r="C5" s="9" t="n">
        <v>0.1</v>
      </c>
      <c r="D5">
        <f>B5*C5</f>
        <v/>
      </c>
    </row>
    <row r="7">
      <c r="A7" s="5" t="inlineStr">
        <is>
          <t>Total</t>
        </is>
      </c>
      <c r="D7" s="5">
        <f>SUM(D4:D5)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5" customWidth="1" min="3" max="3"/>
    <col width="14" customWidth="1" min="4" max="4"/>
    <col width="14" customWidth="1" min="5" max="5"/>
  </cols>
  <sheetData>
    <row r="1">
      <c r="A1" s="8" t="inlineStr">
        <is>
          <t>Vector infrastructure: capacity-shaped money behind a per-request mental model.</t>
        </is>
      </c>
    </row>
    <row r="3">
      <c r="A3" s="2" t="inlineStr">
        <is>
          <t>Store</t>
        </is>
      </c>
      <c r="B3" s="2" t="inlineStr">
        <is>
          <t>Units</t>
        </is>
      </c>
      <c r="C3" s="2" t="inlineStr">
        <is>
          <t>$/unit-hour</t>
        </is>
      </c>
      <c r="D3" s="2" t="inlineStr">
        <is>
          <t>Hours</t>
        </is>
      </c>
      <c r="E3" s="2" t="inlineStr">
        <is>
          <t>Cost</t>
        </is>
      </c>
    </row>
    <row r="4">
      <c r="A4" t="inlineStr">
        <is>
          <t>OpenSearch Serverless (OCU, average)</t>
        </is>
      </c>
      <c r="B4" s="9" t="n">
        <v>80</v>
      </c>
      <c r="C4" s="9" t="n">
        <v>0.24</v>
      </c>
      <c r="D4" s="9" t="n">
        <v>730</v>
      </c>
      <c r="E4">
        <f>B4*C4*D4</f>
        <v/>
      </c>
    </row>
    <row r="5">
      <c r="A5" t="inlineStr">
        <is>
          <t>Aurora PostgreSQL (pgvector)</t>
        </is>
      </c>
      <c r="B5" s="9" t="n">
        <v>1</v>
      </c>
      <c r="C5" s="9" t="n">
        <v>9.589</v>
      </c>
      <c r="D5" s="9" t="n">
        <v>730</v>
      </c>
      <c r="E5">
        <f>B5*C5*D5</f>
        <v/>
      </c>
    </row>
    <row r="7">
      <c r="A7" s="5" t="inlineStr">
        <is>
          <t>Total</t>
        </is>
      </c>
      <c r="E7" s="5">
        <f>SUM(E4:E5)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14" customWidth="1" min="4" max="4"/>
    <col width="21" customWidth="1" min="5" max="5"/>
    <col width="15" customWidth="1" min="6" max="6"/>
    <col width="14" customWidth="1" min="7" max="7"/>
  </cols>
  <sheetData>
    <row r="1">
      <c r="A1" s="8" t="inlineStr">
        <is>
          <t>Self-hosted model plane (Section 3.2's utilization math as a monthly report).</t>
        </is>
      </c>
    </row>
    <row r="3">
      <c r="A3" s="2" t="inlineStr">
        <is>
          <t>Fleet</t>
        </is>
      </c>
      <c r="B3" s="2" t="inlineStr">
        <is>
          <t>Instances</t>
        </is>
      </c>
      <c r="C3" s="2" t="inlineStr">
        <is>
          <t>$/hour</t>
        </is>
      </c>
      <c r="D3" s="2" t="inlineStr">
        <is>
          <t>Hours</t>
        </is>
      </c>
      <c r="E3" s="2" t="inlineStr">
        <is>
          <t>Storage and other</t>
        </is>
      </c>
      <c r="F3" s="2" t="inlineStr">
        <is>
          <t>Utilization</t>
        </is>
      </c>
      <c r="G3" s="2" t="inlineStr">
        <is>
          <t>Cost</t>
        </is>
      </c>
    </row>
    <row r="4">
      <c r="A4" t="inlineStr">
        <is>
          <t>pilot g5.48xlarge</t>
        </is>
      </c>
      <c r="B4" s="9" t="n">
        <v>1</v>
      </c>
      <c r="C4" s="9" t="n">
        <v>16.288</v>
      </c>
      <c r="D4" s="9" t="n">
        <v>730</v>
      </c>
      <c r="E4" s="9" t="n">
        <v>2110</v>
      </c>
      <c r="F4" s="9" t="n">
        <v>0.31</v>
      </c>
      <c r="G4">
        <f>B4*C4*D4+E4</f>
        <v/>
      </c>
    </row>
    <row r="6">
      <c r="A6" s="5" t="inlineStr">
        <is>
          <t>Total</t>
        </is>
      </c>
      <c r="G6" s="5">
        <f>SUM(G4:G4)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14" customWidth="1" min="4" max="4"/>
  </cols>
  <sheetData>
    <row r="1">
      <c r="A1" s="8" t="inlineStr">
        <is>
          <t>Training runs plus the dedicated serving a custom model usually requires.</t>
        </is>
      </c>
    </row>
    <row r="3">
      <c r="A3" s="2" t="inlineStr">
        <is>
          <t>Item</t>
        </is>
      </c>
      <c r="B3" s="2" t="inlineStr">
        <is>
          <t>Quantity</t>
        </is>
      </c>
      <c r="C3" s="2" t="inlineStr">
        <is>
          <t>Unit cost</t>
        </is>
      </c>
      <c r="D3" s="2" t="inlineStr">
        <is>
          <t>Cost</t>
        </is>
      </c>
    </row>
    <row r="4">
      <c r="A4" t="inlineStr">
        <is>
          <t>Customization job</t>
        </is>
      </c>
      <c r="B4" s="9" t="n">
        <v>1</v>
      </c>
      <c r="C4" s="9" t="n">
        <v>2000</v>
      </c>
      <c r="D4">
        <f>B4*C4</f>
        <v/>
      </c>
    </row>
    <row r="5">
      <c r="A5" t="inlineStr">
        <is>
          <t>Dedicated serving (month)</t>
        </is>
      </c>
      <c r="B5" s="9" t="n">
        <v>1</v>
      </c>
      <c r="C5" s="9" t="n">
        <v>5000</v>
      </c>
      <c r="D5">
        <f>B5*C5</f>
        <v/>
      </c>
    </row>
    <row r="7">
      <c r="A7" s="5" t="inlineStr">
        <is>
          <t>Total</t>
        </is>
      </c>
      <c r="D7" s="5">
        <f>SUM(D4:D5)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14" customWidth="1" min="4" max="4"/>
  </cols>
  <sheetData>
    <row r="1">
      <c r="A1" s="8" t="inlineStr">
        <is>
          <t>Logs, traces, evaluations (judges burn tokens too) and guardrail text units.</t>
        </is>
      </c>
    </row>
    <row r="3">
      <c r="A3" s="2" t="inlineStr">
        <is>
          <t>Item</t>
        </is>
      </c>
      <c r="B3" s="2" t="inlineStr">
        <is>
          <t>Quantity</t>
        </is>
      </c>
      <c r="C3" s="2" t="inlineStr">
        <is>
          <t>Unit cost</t>
        </is>
      </c>
      <c r="D3" s="2" t="inlineStr">
        <is>
          <t>Cost</t>
        </is>
      </c>
    </row>
    <row r="4">
      <c r="A4" t="inlineStr">
        <is>
          <t>Prompt/response logging (GB-month)</t>
        </is>
      </c>
      <c r="B4" s="9" t="n">
        <v>5000</v>
      </c>
      <c r="C4" s="9" t="n">
        <v>0.5</v>
      </c>
      <c r="D4">
        <f>B4*C4</f>
        <v/>
      </c>
    </row>
    <row r="5">
      <c r="A5" t="inlineStr">
        <is>
          <t>Trace retention (GB-month)</t>
        </is>
      </c>
      <c r="B5" s="9" t="n">
        <v>7000</v>
      </c>
      <c r="C5" s="9" t="n">
        <v>0.5</v>
      </c>
      <c r="D5">
        <f>B5*C5</f>
        <v/>
      </c>
    </row>
    <row r="6">
      <c r="A6" t="inlineStr">
        <is>
          <t>Evaluation judge tokens (M)</t>
        </is>
      </c>
      <c r="B6" s="9" t="n">
        <v>760</v>
      </c>
      <c r="C6" s="9" t="n">
        <v>3.3</v>
      </c>
      <c r="D6">
        <f>B6*C6</f>
        <v/>
      </c>
    </row>
    <row r="7">
      <c r="A7" t="inlineStr">
        <is>
          <t>Guardrail text units (thousands)</t>
        </is>
      </c>
      <c r="B7" s="9" t="n">
        <v>3333</v>
      </c>
      <c r="C7" s="9" t="n">
        <v>0.75</v>
      </c>
      <c r="D7">
        <f>B7*C7</f>
        <v/>
      </c>
    </row>
    <row r="9">
      <c r="A9" s="5" t="inlineStr">
        <is>
          <t>Total</t>
        </is>
      </c>
      <c r="D9" s="5">
        <f>SUM(D4:D7)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2026-10-23T10:28:25Z</dcterms:created>
  <dcterms:modified xmlns:dcterms="http://purl.org/dc/terms/" xmlns:xsi="http://www.w3.org/2001/XMLSchema-instance" xsi:type="dcterms:W3CDTF">2026-10-23T10:28:25Z</dcterms:modified>
</cp:coreProperties>
</file>